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fety dashboard\"/>
    </mc:Choice>
  </mc:AlternateContent>
  <xr:revisionPtr revIDLastSave="0" documentId="13_ncr:1_{968D525A-457E-4751-99B8-18AAF92E5273}" xr6:coauthVersionLast="47" xr6:coauthVersionMax="47" xr10:uidLastSave="{00000000-0000-0000-0000-000000000000}"/>
  <bookViews>
    <workbookView xWindow="-110" yWindow="-110" windowWidth="19420" windowHeight="10300" xr2:uid="{65292675-1AE2-499D-ADF4-C82CC2EADA79}"/>
  </bookViews>
  <sheets>
    <sheet name="K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" l="1"/>
  <c r="B1" i="1"/>
  <c r="B85" i="1" l="1"/>
  <c r="B63" i="1" l="1"/>
  <c r="B40" i="1"/>
  <c r="B11" i="1"/>
  <c r="B12" i="1"/>
  <c r="B10" i="1"/>
  <c r="B7" i="1"/>
  <c r="B13" i="1" l="1"/>
  <c r="B16" i="1" s="1"/>
</calcChain>
</file>

<file path=xl/sharedStrings.xml><?xml version="1.0" encoding="utf-8"?>
<sst xmlns="http://schemas.openxmlformats.org/spreadsheetml/2006/main" count="71" uniqueCount="63">
  <si>
    <t>Manpower</t>
  </si>
  <si>
    <t>Company A</t>
  </si>
  <si>
    <t>Company B</t>
  </si>
  <si>
    <t>Company C</t>
  </si>
  <si>
    <t xml:space="preserve">Total </t>
  </si>
  <si>
    <t>Manhours</t>
  </si>
  <si>
    <t>Leading Indicators</t>
  </si>
  <si>
    <t>Safe working hours</t>
  </si>
  <si>
    <t>Emergency Drills</t>
  </si>
  <si>
    <t>Safety Inspections</t>
  </si>
  <si>
    <t>HSE Awards</t>
  </si>
  <si>
    <t>Unsafe Acts/Condtions</t>
  </si>
  <si>
    <t>Safety Training hours</t>
  </si>
  <si>
    <t>Site Orientation Sessions</t>
  </si>
  <si>
    <t>HSE Meetings</t>
  </si>
  <si>
    <t>Mangement Walkthrough</t>
  </si>
  <si>
    <t>Site TBT Sessions</t>
  </si>
  <si>
    <t>Lagging Indicators Indicators</t>
  </si>
  <si>
    <t>Fatilities</t>
  </si>
  <si>
    <t>Lost Time Injuries</t>
  </si>
  <si>
    <t>Fire Incidents</t>
  </si>
  <si>
    <t>Property Damage Incident</t>
  </si>
  <si>
    <t>Environmental Incidents</t>
  </si>
  <si>
    <t>First Aid Cases</t>
  </si>
  <si>
    <t>Medical Treatement Cases</t>
  </si>
  <si>
    <t>Restricted work Cases</t>
  </si>
  <si>
    <t>Near-Misses</t>
  </si>
  <si>
    <t>Vehicle Accident</t>
  </si>
  <si>
    <t xml:space="preserve">Postive </t>
  </si>
  <si>
    <t xml:space="preserve">Negative </t>
  </si>
  <si>
    <t>Total</t>
  </si>
  <si>
    <t xml:space="preserve">Work permit </t>
  </si>
  <si>
    <t>Traffic</t>
  </si>
  <si>
    <t xml:space="preserve">Signage </t>
  </si>
  <si>
    <t>Scaffold</t>
  </si>
  <si>
    <t>Rigging</t>
  </si>
  <si>
    <t>Rebar caps</t>
  </si>
  <si>
    <t>PTW</t>
  </si>
  <si>
    <t>PPE</t>
  </si>
  <si>
    <t>Power Tools</t>
  </si>
  <si>
    <t>Manual handling</t>
  </si>
  <si>
    <t>houskeeping</t>
  </si>
  <si>
    <t>Heavy Equipment</t>
  </si>
  <si>
    <t>Lifting</t>
  </si>
  <si>
    <t xml:space="preserve">Welding </t>
  </si>
  <si>
    <t>Fire Equipment</t>
  </si>
  <si>
    <t>Health</t>
  </si>
  <si>
    <t>falls</t>
  </si>
  <si>
    <t>excavation</t>
  </si>
  <si>
    <t>Driving</t>
  </si>
  <si>
    <t>Electrical</t>
  </si>
  <si>
    <t>Confiend space</t>
  </si>
  <si>
    <t>CGC</t>
  </si>
  <si>
    <t>Lost Time Injuries Frequencey LTIF</t>
  </si>
  <si>
    <t xml:space="preserve">Severity </t>
  </si>
  <si>
    <t>Date</t>
  </si>
  <si>
    <t>Training Hours</t>
  </si>
  <si>
    <t>Working At height</t>
  </si>
  <si>
    <t>Work Permit</t>
  </si>
  <si>
    <t>Confiend Space</t>
  </si>
  <si>
    <t>Excavation</t>
  </si>
  <si>
    <t>Welding and Cutting</t>
  </si>
  <si>
    <t>Scaffolding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</si>
</sst>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Oswald"/>
    </font>
    <font>
      <b/>
      <sz val="11"/>
      <color theme="1"/>
      <name val="Oswald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1" fillId="0" borderId="0" xfId="0" applyFont="1"/>
    <xf numFmtId="0" fontId="2" fillId="3" borderId="0" xfId="0" applyFont="1" applyFill="1"/>
    <xf numFmtId="0" fontId="4" fillId="0" borderId="0" xfId="0" applyFont="1"/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7905"/>
      <color rgb="FFF8D2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KPI!$A$1</c:f>
              <c:strCache>
                <c:ptCount val="1"/>
                <c:pt idx="0">
                  <c:v>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KPI!$B$1</c:f>
              <c:numCache>
                <c:formatCode>[$-409]mmmm\ d\,\ yyyy;@</c:formatCode>
                <c:ptCount val="1"/>
                <c:pt idx="0">
                  <c:v>46187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6-4F15-BEC4-B8D6966D2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92256"/>
        <c:axId val="1788484240"/>
      </c:barChart>
      <c:catAx>
        <c:axId val="736922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788484240"/>
        <c:crosses val="autoZero"/>
        <c:auto val="1"/>
        <c:lblAlgn val="ctr"/>
        <c:lblOffset val="100"/>
        <c:noMultiLvlLbl val="0"/>
      </c:catAx>
      <c:valAx>
        <c:axId val="1788484240"/>
        <c:scaling>
          <c:orientation val="minMax"/>
        </c:scaling>
        <c:delete val="1"/>
        <c:axPos val="l"/>
        <c:numFmt formatCode="[$-409]mmmm\ d\,\ yyyy;@" sourceLinked="1"/>
        <c:majorTickMark val="none"/>
        <c:minorTickMark val="none"/>
        <c:tickLblPos val="nextTo"/>
        <c:crossAx val="7369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"/>
          <c:w val="1"/>
          <c:h val="0.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KPI!$A$7</c:f>
              <c:strCache>
                <c:ptCount val="1"/>
                <c:pt idx="0">
                  <c:v>Total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77-4BDF-9C44-99799C0AA34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365853658536584"/>
                      <c:h val="0.566666666666666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277-4BDF-9C44-99799C0AA3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KPI!$B$7</c:f>
              <c:numCache>
                <c:formatCode>General</c:formatCode>
                <c:ptCount val="1"/>
                <c:pt idx="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7-4BDF-9C44-99799C0AA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901056"/>
        <c:axId val="68039248"/>
      </c:barChart>
      <c:catAx>
        <c:axId val="2058901056"/>
        <c:scaling>
          <c:orientation val="minMax"/>
        </c:scaling>
        <c:delete val="1"/>
        <c:axPos val="b"/>
        <c:majorTickMark val="none"/>
        <c:minorTickMark val="none"/>
        <c:tickLblPos val="nextTo"/>
        <c:crossAx val="68039248"/>
        <c:crosses val="autoZero"/>
        <c:auto val="1"/>
        <c:lblAlgn val="ctr"/>
        <c:lblOffset val="100"/>
        <c:noMultiLvlLbl val="0"/>
      </c:catAx>
      <c:valAx>
        <c:axId val="68039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890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"/>
          <c:w val="1"/>
          <c:h val="0.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KPI!$A$13</c:f>
              <c:strCache>
                <c:ptCount val="1"/>
                <c:pt idx="0">
                  <c:v>Total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259259259259258"/>
                      <c:h val="0.398784722222222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277-4BDF-9C44-99799C0AA3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KPI!$B$13</c:f>
              <c:numCache>
                <c:formatCode>General</c:formatCode>
                <c:ptCount val="1"/>
                <c:pt idx="0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7-4BDF-9C44-99799C0AA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901056"/>
        <c:axId val="68039248"/>
      </c:barChart>
      <c:catAx>
        <c:axId val="2058901056"/>
        <c:scaling>
          <c:orientation val="minMax"/>
        </c:scaling>
        <c:delete val="1"/>
        <c:axPos val="b"/>
        <c:majorTickMark val="none"/>
        <c:minorTickMark val="none"/>
        <c:tickLblPos val="nextTo"/>
        <c:crossAx val="68039248"/>
        <c:crosses val="autoZero"/>
        <c:auto val="1"/>
        <c:lblAlgn val="ctr"/>
        <c:lblOffset val="100"/>
        <c:noMultiLvlLbl val="0"/>
      </c:catAx>
      <c:valAx>
        <c:axId val="68039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890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9C-46CD-A423-8AD20225D8E7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9C-46CD-A423-8AD20225D8E7}"/>
              </c:ext>
            </c:extLst>
          </c:dPt>
          <c:cat>
            <c:strRef>
              <c:f>KPI!$A$38:$A$39</c:f>
              <c:strCache>
                <c:ptCount val="2"/>
                <c:pt idx="0">
                  <c:v>Postive </c:v>
                </c:pt>
                <c:pt idx="1">
                  <c:v>Negative </c:v>
                </c:pt>
              </c:strCache>
            </c:strRef>
          </c:cat>
          <c:val>
            <c:numRef>
              <c:f>KPI!$B$38:$B$39</c:f>
              <c:numCache>
                <c:formatCode>General</c:formatCode>
                <c:ptCount val="2"/>
                <c:pt idx="0">
                  <c:v>300</c:v>
                </c:pt>
                <c:pt idx="1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C-46CD-A423-8AD20225D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43-4B2B-AABA-6FE5AD26AE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43-4B2B-AABA-6FE5AD26AE7B}"/>
              </c:ext>
            </c:extLst>
          </c:dPt>
          <c:cat>
            <c:strRef>
              <c:f>KPI!$A$38:$A$39</c:f>
              <c:strCache>
                <c:ptCount val="2"/>
                <c:pt idx="0">
                  <c:v>Postive </c:v>
                </c:pt>
                <c:pt idx="1">
                  <c:v>Negative </c:v>
                </c:pt>
              </c:strCache>
            </c:strRef>
          </c:cat>
          <c:val>
            <c:numRef>
              <c:f>KPI!$B$38:$B$39</c:f>
              <c:numCache>
                <c:formatCode>General</c:formatCode>
                <c:ptCount val="2"/>
                <c:pt idx="0">
                  <c:v>300</c:v>
                </c:pt>
                <c:pt idx="1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C-46CD-A423-8AD20225D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"/>
          <c:w val="1"/>
          <c:h val="0.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KPI!$A$38</c:f>
              <c:strCache>
                <c:ptCount val="1"/>
                <c:pt idx="0">
                  <c:v>Postive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77-4BDF-9C44-99799C0AA3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KPI!$B$38</c:f>
              <c:numCache>
                <c:formatCode>General</c:formatCode>
                <c:ptCount val="1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7-4BDF-9C44-99799C0AA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901056"/>
        <c:axId val="68039248"/>
      </c:barChart>
      <c:catAx>
        <c:axId val="2058901056"/>
        <c:scaling>
          <c:orientation val="minMax"/>
        </c:scaling>
        <c:delete val="1"/>
        <c:axPos val="b"/>
        <c:majorTickMark val="none"/>
        <c:minorTickMark val="none"/>
        <c:tickLblPos val="nextTo"/>
        <c:crossAx val="68039248"/>
        <c:crosses val="autoZero"/>
        <c:auto val="1"/>
        <c:lblAlgn val="ctr"/>
        <c:lblOffset val="100"/>
        <c:noMultiLvlLbl val="0"/>
      </c:catAx>
      <c:valAx>
        <c:axId val="68039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890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9607843137254919E-3"/>
          <c:w val="1"/>
          <c:h val="0.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KPI!$A$39</c:f>
              <c:strCache>
                <c:ptCount val="1"/>
                <c:pt idx="0">
                  <c:v>Negative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KPI!$B$39</c:f>
              <c:numCache>
                <c:formatCode>General</c:formatCode>
                <c:ptCount val="1"/>
                <c:pt idx="0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7-4BDF-9C44-99799C0AA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901056"/>
        <c:axId val="68039248"/>
      </c:barChart>
      <c:catAx>
        <c:axId val="2058901056"/>
        <c:scaling>
          <c:orientation val="minMax"/>
        </c:scaling>
        <c:delete val="1"/>
        <c:axPos val="b"/>
        <c:majorTickMark val="none"/>
        <c:minorTickMark val="none"/>
        <c:tickLblPos val="nextTo"/>
        <c:crossAx val="68039248"/>
        <c:crosses val="autoZero"/>
        <c:auto val="1"/>
        <c:lblAlgn val="ctr"/>
        <c:lblOffset val="100"/>
        <c:noMultiLvlLbl val="0"/>
      </c:catAx>
      <c:valAx>
        <c:axId val="68039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890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8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"/>
          <c:w val="1"/>
          <c:h val="0.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KPI!$A$40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KPI!$B$40</c:f>
              <c:numCache>
                <c:formatCode>General</c:formatCode>
                <c:ptCount val="1"/>
                <c:pt idx="0">
                  <c:v>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7-4BDF-9C44-99799C0AA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901056"/>
        <c:axId val="68039248"/>
      </c:barChart>
      <c:catAx>
        <c:axId val="2058901056"/>
        <c:scaling>
          <c:orientation val="minMax"/>
        </c:scaling>
        <c:delete val="1"/>
        <c:axPos val="b"/>
        <c:majorTickMark val="none"/>
        <c:minorTickMark val="none"/>
        <c:tickLblPos val="nextTo"/>
        <c:crossAx val="68039248"/>
        <c:crosses val="autoZero"/>
        <c:auto val="1"/>
        <c:lblAlgn val="ctr"/>
        <c:lblOffset val="100"/>
        <c:noMultiLvlLbl val="0"/>
      </c:catAx>
      <c:valAx>
        <c:axId val="68039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890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KPI!$A$41:$A$62</c:f>
              <c:strCache>
                <c:ptCount val="22"/>
                <c:pt idx="0">
                  <c:v>Work permit </c:v>
                </c:pt>
                <c:pt idx="1">
                  <c:v>Traffic</c:v>
                </c:pt>
                <c:pt idx="2">
                  <c:v>Signage </c:v>
                </c:pt>
                <c:pt idx="3">
                  <c:v>Scaffold</c:v>
                </c:pt>
                <c:pt idx="4">
                  <c:v>Rigging</c:v>
                </c:pt>
                <c:pt idx="5">
                  <c:v>Rebar caps</c:v>
                </c:pt>
                <c:pt idx="6">
                  <c:v>PTW</c:v>
                </c:pt>
                <c:pt idx="7">
                  <c:v>PPE</c:v>
                </c:pt>
                <c:pt idx="8">
                  <c:v>Power Tools</c:v>
                </c:pt>
                <c:pt idx="9">
                  <c:v>Manual handling</c:v>
                </c:pt>
                <c:pt idx="10">
                  <c:v>houskeeping</c:v>
                </c:pt>
                <c:pt idx="11">
                  <c:v>Heavy Equipment</c:v>
                </c:pt>
                <c:pt idx="12">
                  <c:v>Lifting</c:v>
                </c:pt>
                <c:pt idx="13">
                  <c:v>Welding </c:v>
                </c:pt>
                <c:pt idx="14">
                  <c:v>Fire Equipment</c:v>
                </c:pt>
                <c:pt idx="15">
                  <c:v>Health</c:v>
                </c:pt>
                <c:pt idx="16">
                  <c:v>falls</c:v>
                </c:pt>
                <c:pt idx="17">
                  <c:v>excavation</c:v>
                </c:pt>
                <c:pt idx="18">
                  <c:v>Driving</c:v>
                </c:pt>
                <c:pt idx="19">
                  <c:v>Electrical</c:v>
                </c:pt>
                <c:pt idx="20">
                  <c:v>Confiend space</c:v>
                </c:pt>
                <c:pt idx="21">
                  <c:v>CGC</c:v>
                </c:pt>
              </c:strCache>
            </c:strRef>
          </c:cat>
          <c:val>
            <c:numRef>
              <c:f>KPI!$B$41:$B$62</c:f>
              <c:numCache>
                <c:formatCode>General</c:formatCode>
                <c:ptCount val="22"/>
                <c:pt idx="0">
                  <c:v>20</c:v>
                </c:pt>
                <c:pt idx="1">
                  <c:v>2</c:v>
                </c:pt>
                <c:pt idx="2">
                  <c:v>40</c:v>
                </c:pt>
                <c:pt idx="3">
                  <c:v>15</c:v>
                </c:pt>
                <c:pt idx="4">
                  <c:v>25</c:v>
                </c:pt>
                <c:pt idx="5">
                  <c:v>13</c:v>
                </c:pt>
                <c:pt idx="6">
                  <c:v>13</c:v>
                </c:pt>
                <c:pt idx="7">
                  <c:v>90</c:v>
                </c:pt>
                <c:pt idx="8">
                  <c:v>41</c:v>
                </c:pt>
                <c:pt idx="9">
                  <c:v>7</c:v>
                </c:pt>
                <c:pt idx="10">
                  <c:v>40</c:v>
                </c:pt>
                <c:pt idx="11">
                  <c:v>35</c:v>
                </c:pt>
                <c:pt idx="12">
                  <c:v>12</c:v>
                </c:pt>
                <c:pt idx="13">
                  <c:v>2</c:v>
                </c:pt>
                <c:pt idx="14">
                  <c:v>10</c:v>
                </c:pt>
                <c:pt idx="15">
                  <c:v>2</c:v>
                </c:pt>
                <c:pt idx="16">
                  <c:v>4</c:v>
                </c:pt>
                <c:pt idx="17">
                  <c:v>5</c:v>
                </c:pt>
                <c:pt idx="18">
                  <c:v>13</c:v>
                </c:pt>
                <c:pt idx="19">
                  <c:v>11</c:v>
                </c:pt>
                <c:pt idx="20">
                  <c:v>7</c:v>
                </c:pt>
                <c:pt idx="2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B-43FD-8C0F-A179D1774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8905456"/>
        <c:axId val="68031344"/>
      </c:barChart>
      <c:catAx>
        <c:axId val="205890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31344"/>
        <c:crosses val="autoZero"/>
        <c:auto val="1"/>
        <c:lblAlgn val="ctr"/>
        <c:lblOffset val="100"/>
        <c:noMultiLvlLbl val="0"/>
      </c:catAx>
      <c:valAx>
        <c:axId val="68031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890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"/>
          <c:w val="1"/>
          <c:h val="0.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KPI!$A$63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5B2-4284-A801-EA3F0FA54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KPI!$B$63</c:f>
              <c:numCache>
                <c:formatCode>General</c:formatCode>
                <c:ptCount val="1"/>
                <c:pt idx="0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7-4BDF-9C44-99799C0AA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901056"/>
        <c:axId val="68039248"/>
      </c:barChart>
      <c:catAx>
        <c:axId val="2058901056"/>
        <c:scaling>
          <c:orientation val="minMax"/>
        </c:scaling>
        <c:delete val="1"/>
        <c:axPos val="b"/>
        <c:majorTickMark val="none"/>
        <c:minorTickMark val="none"/>
        <c:tickLblPos val="nextTo"/>
        <c:crossAx val="68039248"/>
        <c:crosses val="autoZero"/>
        <c:auto val="1"/>
        <c:lblAlgn val="ctr"/>
        <c:lblOffset val="100"/>
        <c:noMultiLvlLbl val="0"/>
      </c:catAx>
      <c:valAx>
        <c:axId val="68039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890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39468661922876E-2"/>
          <c:y val="6.2656641604010022E-2"/>
          <c:w val="0.88817781204315749"/>
          <c:h val="0.78572513962070534"/>
        </c:manualLayout>
      </c:layout>
      <c:lineChart>
        <c:grouping val="standard"/>
        <c:varyColors val="0"/>
        <c:ser>
          <c:idx val="0"/>
          <c:order val="0"/>
          <c:spPr>
            <a:ln w="28575" cap="sq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KPI!$A$66:$A$69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KPI!$B$66:$B$69</c:f>
              <c:numCache>
                <c:formatCode>General</c:formatCode>
                <c:ptCount val="4"/>
                <c:pt idx="0">
                  <c:v>0.2</c:v>
                </c:pt>
                <c:pt idx="1">
                  <c:v>0.1</c:v>
                </c:pt>
                <c:pt idx="2">
                  <c:v>0.3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9-49C1-A336-F2EB75B9F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80304"/>
        <c:axId val="68056304"/>
      </c:lineChart>
      <c:catAx>
        <c:axId val="6808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6304"/>
        <c:crosses val="autoZero"/>
        <c:auto val="1"/>
        <c:lblAlgn val="ctr"/>
        <c:lblOffset val="100"/>
        <c:noMultiLvlLbl val="0"/>
      </c:catAx>
      <c:valAx>
        <c:axId val="6805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sq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KPI!$A$72:$A$75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KPI!$B$72:$B$75</c:f>
              <c:numCache>
                <c:formatCode>General</c:formatCode>
                <c:ptCount val="4"/>
                <c:pt idx="0">
                  <c:v>4</c:v>
                </c:pt>
                <c:pt idx="1">
                  <c:v>2.5</c:v>
                </c:pt>
                <c:pt idx="2">
                  <c:v>3.5</c:v>
                </c:pt>
                <c:pt idx="3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3E-45C9-96EC-BA97270E5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361216"/>
        <c:axId val="68052976"/>
      </c:lineChart>
      <c:catAx>
        <c:axId val="25036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2976"/>
        <c:crosses val="autoZero"/>
        <c:auto val="1"/>
        <c:lblAlgn val="ctr"/>
        <c:lblOffset val="100"/>
        <c:noMultiLvlLbl val="0"/>
      </c:catAx>
      <c:valAx>
        <c:axId val="6805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6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KPI!$A$78:$A$84</c:f>
              <c:strCache>
                <c:ptCount val="7"/>
                <c:pt idx="0">
                  <c:v>Working At height</c:v>
                </c:pt>
                <c:pt idx="1">
                  <c:v>Work Permit</c:v>
                </c:pt>
                <c:pt idx="2">
                  <c:v>Confiend Space</c:v>
                </c:pt>
                <c:pt idx="3">
                  <c:v>Lifting</c:v>
                </c:pt>
                <c:pt idx="4">
                  <c:v>Excavation</c:v>
                </c:pt>
                <c:pt idx="5">
                  <c:v>Welding and Cutting</c:v>
                </c:pt>
                <c:pt idx="6">
                  <c:v>Scaffolding</c:v>
                </c:pt>
              </c:strCache>
            </c:strRef>
          </c:cat>
          <c:val>
            <c:numRef>
              <c:f>KPI!$B$78:$B$84</c:f>
              <c:numCache>
                <c:formatCode>General</c:formatCode>
                <c:ptCount val="7"/>
                <c:pt idx="0">
                  <c:v>140</c:v>
                </c:pt>
                <c:pt idx="1">
                  <c:v>230</c:v>
                </c:pt>
                <c:pt idx="2">
                  <c:v>110</c:v>
                </c:pt>
                <c:pt idx="3">
                  <c:v>88</c:v>
                </c:pt>
                <c:pt idx="4">
                  <c:v>90</c:v>
                </c:pt>
                <c:pt idx="5">
                  <c:v>170</c:v>
                </c:pt>
                <c:pt idx="6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0-4022-BB86-468847EBB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081904"/>
        <c:axId val="2099978016"/>
      </c:barChart>
      <c:catAx>
        <c:axId val="6808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978016"/>
        <c:crosses val="autoZero"/>
        <c:auto val="1"/>
        <c:lblAlgn val="ctr"/>
        <c:lblOffset val="100"/>
        <c:noMultiLvlLbl val="0"/>
      </c:catAx>
      <c:valAx>
        <c:axId val="209997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"/>
          <c:w val="1"/>
          <c:h val="0.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KPI!$A$85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5B2-4284-A801-EA3F0FA54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KPI!$B$85</c:f>
              <c:numCache>
                <c:formatCode>General</c:formatCode>
                <c:ptCount val="1"/>
                <c:pt idx="0">
                  <c:v>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7-4BDF-9C44-99799C0AA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901056"/>
        <c:axId val="68039248"/>
      </c:barChart>
      <c:catAx>
        <c:axId val="2058901056"/>
        <c:scaling>
          <c:orientation val="minMax"/>
        </c:scaling>
        <c:delete val="1"/>
        <c:axPos val="b"/>
        <c:majorTickMark val="none"/>
        <c:minorTickMark val="none"/>
        <c:tickLblPos val="nextTo"/>
        <c:crossAx val="68039248"/>
        <c:crosses val="autoZero"/>
        <c:auto val="1"/>
        <c:lblAlgn val="ctr"/>
        <c:lblOffset val="100"/>
        <c:noMultiLvlLbl val="0"/>
      </c:catAx>
      <c:valAx>
        <c:axId val="68039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890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594217389492978E-2"/>
          <c:y val="4.4101004608935901E-2"/>
          <c:w val="0.83268091488563933"/>
          <c:h val="0.725412370156349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KPI!$A$4:$A$6</c:f>
              <c:strCache>
                <c:ptCount val="3"/>
                <c:pt idx="0">
                  <c:v>Company A</c:v>
                </c:pt>
                <c:pt idx="1">
                  <c:v>Company B</c:v>
                </c:pt>
                <c:pt idx="2">
                  <c:v>Company C</c:v>
                </c:pt>
              </c:strCache>
            </c:strRef>
          </c:cat>
          <c:val>
            <c:numRef>
              <c:f>KPI!$B$4:$B$6</c:f>
              <c:numCache>
                <c:formatCode>General</c:formatCode>
                <c:ptCount val="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A-4BFE-AEEF-2CA9F18FCB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4038591"/>
        <c:axId val="444037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KPI!$A$4:$A$6</c15:sqref>
                        </c15:formulaRef>
                      </c:ext>
                    </c:extLst>
                    <c:strCache>
                      <c:ptCount val="3"/>
                      <c:pt idx="0">
                        <c:v>Company A</c:v>
                      </c:pt>
                      <c:pt idx="1">
                        <c:v>Company B</c:v>
                      </c:pt>
                      <c:pt idx="2">
                        <c:v>Company 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KPI!$C$4:$C$6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24A-4BFE-AEEF-2CA9F18FCBC3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KPI!$A$4:$A$6</c15:sqref>
                        </c15:formulaRef>
                      </c:ext>
                    </c:extLst>
                    <c:strCache>
                      <c:ptCount val="3"/>
                      <c:pt idx="0">
                        <c:v>Company A</c:v>
                      </c:pt>
                      <c:pt idx="1">
                        <c:v>Company B</c:v>
                      </c:pt>
                      <c:pt idx="2">
                        <c:v>Company 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KPI!$D$4:$D$6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4A-4BFE-AEEF-2CA9F18FCBC3}"/>
                  </c:ext>
                </c:extLst>
              </c15:ser>
            </c15:filteredBarSeries>
          </c:ext>
        </c:extLst>
      </c:barChart>
      <c:catAx>
        <c:axId val="44403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37151"/>
        <c:crosses val="autoZero"/>
        <c:auto val="1"/>
        <c:lblAlgn val="ctr"/>
        <c:lblOffset val="100"/>
        <c:noMultiLvlLbl val="0"/>
      </c:catAx>
      <c:valAx>
        <c:axId val="44403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38591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KPI!$A$10:$A$12</c:f>
              <c:strCache>
                <c:ptCount val="3"/>
                <c:pt idx="0">
                  <c:v>Company A</c:v>
                </c:pt>
                <c:pt idx="1">
                  <c:v>Company B</c:v>
                </c:pt>
                <c:pt idx="2">
                  <c:v>Company C</c:v>
                </c:pt>
              </c:strCache>
            </c:strRef>
          </c:cat>
          <c:val>
            <c:numRef>
              <c:f>KPI!$B$10:$B$12</c:f>
              <c:numCache>
                <c:formatCode>General</c:formatCode>
                <c:ptCount val="3"/>
                <c:pt idx="0">
                  <c:v>90000</c:v>
                </c:pt>
                <c:pt idx="1">
                  <c:v>120000</c:v>
                </c:pt>
                <c:pt idx="2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9-49FD-B8BA-4CCCCED1DC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4050591"/>
        <c:axId val="444040031"/>
      </c:barChart>
      <c:catAx>
        <c:axId val="444050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40031"/>
        <c:crosses val="autoZero"/>
        <c:auto val="1"/>
        <c:lblAlgn val="ctr"/>
        <c:lblOffset val="100"/>
        <c:noMultiLvlLbl val="0"/>
      </c:catAx>
      <c:valAx>
        <c:axId val="444040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05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KPI!$A$1</c:f>
              <c:strCache>
                <c:ptCount val="1"/>
                <c:pt idx="0">
                  <c:v>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KPI!$B$1</c:f>
              <c:numCache>
                <c:formatCode>[$-409]mmmm\ d\,\ yyyy;@</c:formatCode>
                <c:ptCount val="1"/>
                <c:pt idx="0">
                  <c:v>46187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B-47A2-9874-DB77E637B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92256"/>
        <c:axId val="1788484240"/>
      </c:barChart>
      <c:catAx>
        <c:axId val="736922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788484240"/>
        <c:crosses val="autoZero"/>
        <c:auto val="1"/>
        <c:lblAlgn val="ctr"/>
        <c:lblOffset val="100"/>
        <c:noMultiLvlLbl val="0"/>
      </c:catAx>
      <c:valAx>
        <c:axId val="1788484240"/>
        <c:scaling>
          <c:orientation val="minMax"/>
        </c:scaling>
        <c:delete val="1"/>
        <c:axPos val="l"/>
        <c:numFmt formatCode="[$-409]mmmm\ d\,\ yyyy;@" sourceLinked="1"/>
        <c:majorTickMark val="none"/>
        <c:minorTickMark val="none"/>
        <c:tickLblPos val="nextTo"/>
        <c:crossAx val="7369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883920</xdr:colOff>
      <xdr:row>0</xdr:row>
      <xdr:rowOff>0</xdr:rowOff>
    </xdr:from>
    <xdr:to>
      <xdr:col>2</xdr:col>
      <xdr:colOff>0</xdr:colOff>
      <xdr:row>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9BAFAE-E324-4FA3-9118-28C5F581D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160020</xdr:colOff>
      <xdr:row>6</xdr:row>
      <xdr:rowOff>0</xdr:rowOff>
    </xdr:from>
    <xdr:to>
      <xdr:col>5</xdr:col>
      <xdr:colOff>502920</xdr:colOff>
      <xdr:row>7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15D17F-1A2B-4217-8844-4BD5BD6C8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175260</xdr:colOff>
      <xdr:row>11</xdr:row>
      <xdr:rowOff>30480</xdr:rowOff>
    </xdr:from>
    <xdr:to>
      <xdr:col>6</xdr:col>
      <xdr:colOff>403860</xdr:colOff>
      <xdr:row>14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7C0393-9F83-492C-BBBF-1AC4994A7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45720</xdr:colOff>
      <xdr:row>32</xdr:row>
      <xdr:rowOff>15240</xdr:rowOff>
    </xdr:from>
    <xdr:to>
      <xdr:col>14</xdr:col>
      <xdr:colOff>266700</xdr:colOff>
      <xdr:row>41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C1444C-7037-4687-AD7A-594FE8E8B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312420</xdr:colOff>
      <xdr:row>31</xdr:row>
      <xdr:rowOff>129540</xdr:rowOff>
    </xdr:from>
    <xdr:to>
      <xdr:col>10</xdr:col>
      <xdr:colOff>678180</xdr:colOff>
      <xdr:row>41</xdr:row>
      <xdr:rowOff>120396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221A6E-F863-4A70-8964-8273F9B1C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350520</xdr:colOff>
      <xdr:row>35</xdr:row>
      <xdr:rowOff>160020</xdr:rowOff>
    </xdr:from>
    <xdr:to>
      <xdr:col>13</xdr:col>
      <xdr:colOff>281940</xdr:colOff>
      <xdr:row>37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861DF5A-0D88-42C0-A9CA-9640A212A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182880</xdr:colOff>
      <xdr:row>36</xdr:row>
      <xdr:rowOff>83820</xdr:rowOff>
    </xdr:from>
    <xdr:to>
      <xdr:col>10</xdr:col>
      <xdr:colOff>30480</xdr:colOff>
      <xdr:row>37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08D8C2-D790-43BC-AF3A-367F77EFD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1249680</xdr:colOff>
      <xdr:row>39</xdr:row>
      <xdr:rowOff>15240</xdr:rowOff>
    </xdr:from>
    <xdr:to>
      <xdr:col>6</xdr:col>
      <xdr:colOff>152400</xdr:colOff>
      <xdr:row>42</xdr:row>
      <xdr:rowOff>83820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C6CDB85-D713-455C-A660-7BB8CB081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579120</xdr:colOff>
      <xdr:row>41</xdr:row>
      <xdr:rowOff>175260</xdr:rowOff>
    </xdr:from>
    <xdr:to>
      <xdr:col>13</xdr:col>
      <xdr:colOff>579120</xdr:colOff>
      <xdr:row>59</xdr:row>
      <xdr:rowOff>45720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0F3115-6BB4-4846-9F14-BD01A34F8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1272540</xdr:colOff>
      <xdr:row>61</xdr:row>
      <xdr:rowOff>160020</xdr:rowOff>
    </xdr:from>
    <xdr:to>
      <xdr:col>6</xdr:col>
      <xdr:colOff>175260</xdr:colOff>
      <xdr:row>64</xdr:row>
      <xdr:rowOff>228600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BBC151A-F127-4377-9A91-41A030959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510540</xdr:colOff>
      <xdr:row>63</xdr:row>
      <xdr:rowOff>68580</xdr:rowOff>
    </xdr:from>
    <xdr:to>
      <xdr:col>10</xdr:col>
      <xdr:colOff>190299</xdr:colOff>
      <xdr:row>70</xdr:row>
      <xdr:rowOff>99060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D1959A5-81C6-4A6F-8572-5A7F9348A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556260</xdr:colOff>
      <xdr:row>70</xdr:row>
      <xdr:rowOff>167640</xdr:rowOff>
    </xdr:from>
    <xdr:to>
      <xdr:col>9</xdr:col>
      <xdr:colOff>365760</xdr:colOff>
      <xdr:row>78</xdr:row>
      <xdr:rowOff>160020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56EF56C-9318-4801-968A-661E97358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388620</xdr:colOff>
      <xdr:row>78</xdr:row>
      <xdr:rowOff>91440</xdr:rowOff>
    </xdr:from>
    <xdr:to>
      <xdr:col>13</xdr:col>
      <xdr:colOff>266700</xdr:colOff>
      <xdr:row>90</xdr:row>
      <xdr:rowOff>53340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2F85674-92B3-4FB2-8847-B61EDE053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1196340</xdr:colOff>
      <xdr:row>83</xdr:row>
      <xdr:rowOff>167640</xdr:rowOff>
    </xdr:from>
    <xdr:to>
      <xdr:col>6</xdr:col>
      <xdr:colOff>99060</xdr:colOff>
      <xdr:row>87</xdr:row>
      <xdr:rowOff>53340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70FC1FC-67B1-4575-A932-E37A18208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336181</xdr:colOff>
      <xdr:row>0</xdr:row>
      <xdr:rowOff>196103</xdr:rowOff>
    </xdr:from>
    <xdr:to>
      <xdr:col>10</xdr:col>
      <xdr:colOff>301630</xdr:colOff>
      <xdr:row>6</xdr:row>
      <xdr:rowOff>302372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C1D9FF5-03A9-2ED8-4136-15A40BDC2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541616</xdr:colOff>
      <xdr:row>7</xdr:row>
      <xdr:rowOff>186764</xdr:rowOff>
    </xdr:from>
    <xdr:to>
      <xdr:col>12</xdr:col>
      <xdr:colOff>429559</xdr:colOff>
      <xdr:row>19</xdr:row>
      <xdr:rowOff>46691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DF194F6-1FD5-697A-3E89-6E3BD35D9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883920</xdr:colOff>
      <xdr:row>0</xdr:row>
      <xdr:rowOff>0</xdr:rowOff>
    </xdr:from>
    <xdr:to>
      <xdr:col>3</xdr:col>
      <xdr:colOff>0</xdr:colOff>
      <xdr:row>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B34433-A292-464B-9EED-F9F66EE43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EB02-268D-4A2B-A125-A39036B2AD76}">
  <dimension ref="A1:K85"/>
  <sheetViews>
    <sheetView tabSelected="1" zoomScale="69" workbookViewId="0">
      <selection activeCell="O4" sqref="O4"/>
    </sheetView>
  </sheetViews>
  <sheetFormatPr defaultRowHeight="14.5" x14ac:dyDescent="0.35"/>
  <cols>
    <col min="1" max="1" width="21.1796875" customWidth="1"/>
    <col min="2" max="2" width="17" customWidth="1"/>
    <col min="3" max="3" width="19.36328125" customWidth="1"/>
    <col min="11" max="11" width="12.08984375" customWidth="1"/>
  </cols>
  <sheetData>
    <row r="1" spans="1:11" ht="29" x14ac:dyDescent="1.05">
      <c r="A1" s="1" t="s">
        <v>55</v>
      </c>
      <c r="B1" s="6">
        <f ca="1">TODAY()</f>
        <v>46187</v>
      </c>
      <c r="C1" s="6">
        <f ca="1">TODAY()</f>
        <v>46187</v>
      </c>
      <c r="K1" s="7"/>
    </row>
    <row r="3" spans="1:11" ht="29" x14ac:dyDescent="1.05">
      <c r="A3" s="9" t="s">
        <v>0</v>
      </c>
      <c r="B3" s="9"/>
      <c r="C3" s="9"/>
      <c r="D3" s="9"/>
    </row>
    <row r="4" spans="1:11" x14ac:dyDescent="0.35">
      <c r="A4" s="2" t="s">
        <v>1</v>
      </c>
      <c r="B4" s="2">
        <v>300</v>
      </c>
      <c r="G4" s="8"/>
      <c r="H4" s="8"/>
      <c r="I4" s="8"/>
      <c r="J4" s="8"/>
    </row>
    <row r="5" spans="1:11" x14ac:dyDescent="0.35">
      <c r="A5" s="2" t="s">
        <v>2</v>
      </c>
      <c r="B5" s="2">
        <v>400</v>
      </c>
    </row>
    <row r="6" spans="1:11" x14ac:dyDescent="0.35">
      <c r="A6" s="2" t="s">
        <v>3</v>
      </c>
      <c r="B6" s="2">
        <v>500</v>
      </c>
    </row>
    <row r="7" spans="1:11" ht="29" x14ac:dyDescent="1.05">
      <c r="A7" s="3" t="s">
        <v>4</v>
      </c>
      <c r="B7" s="3">
        <f>SUM(B4:B6)</f>
        <v>1200</v>
      </c>
      <c r="C7" s="3"/>
      <c r="D7" s="3"/>
    </row>
    <row r="9" spans="1:11" ht="29" x14ac:dyDescent="1.05">
      <c r="A9" s="9" t="s">
        <v>5</v>
      </c>
      <c r="B9" s="9"/>
      <c r="C9" s="9"/>
      <c r="D9" s="9"/>
    </row>
    <row r="10" spans="1:11" x14ac:dyDescent="0.35">
      <c r="A10" s="2" t="s">
        <v>1</v>
      </c>
      <c r="B10" s="2">
        <f>B4*10*30</f>
        <v>90000</v>
      </c>
    </row>
    <row r="11" spans="1:11" x14ac:dyDescent="0.35">
      <c r="A11" s="2" t="s">
        <v>2</v>
      </c>
      <c r="B11" s="2">
        <f t="shared" ref="B11:B12" si="0">B5*10*30</f>
        <v>120000</v>
      </c>
    </row>
    <row r="12" spans="1:11" x14ac:dyDescent="0.35">
      <c r="A12" s="2" t="s">
        <v>3</v>
      </c>
      <c r="B12" s="2">
        <f t="shared" si="0"/>
        <v>150000</v>
      </c>
    </row>
    <row r="13" spans="1:11" ht="29" x14ac:dyDescent="1.05">
      <c r="A13" s="3" t="s">
        <v>4</v>
      </c>
      <c r="B13" s="3">
        <f>SUM(B10:B12)</f>
        <v>360000</v>
      </c>
      <c r="C13" s="3"/>
      <c r="D13" s="3"/>
    </row>
    <row r="15" spans="1:11" ht="29" x14ac:dyDescent="1.05">
      <c r="A15" s="9" t="s">
        <v>6</v>
      </c>
      <c r="B15" s="9"/>
      <c r="C15" s="9"/>
      <c r="D15" s="9"/>
    </row>
    <row r="16" spans="1:11" ht="15.5" x14ac:dyDescent="0.35">
      <c r="A16" t="s">
        <v>7</v>
      </c>
      <c r="B16" s="4">
        <f>B13</f>
        <v>360000</v>
      </c>
    </row>
    <row r="17" spans="1:4" x14ac:dyDescent="0.35">
      <c r="A17" t="s">
        <v>8</v>
      </c>
      <c r="B17">
        <v>30</v>
      </c>
    </row>
    <row r="18" spans="1:4" x14ac:dyDescent="0.35">
      <c r="A18" t="s">
        <v>9</v>
      </c>
      <c r="B18">
        <v>400</v>
      </c>
    </row>
    <row r="19" spans="1:4" x14ac:dyDescent="0.35">
      <c r="A19" t="s">
        <v>10</v>
      </c>
      <c r="B19">
        <v>250</v>
      </c>
    </row>
    <row r="20" spans="1:4" x14ac:dyDescent="0.35">
      <c r="A20" t="s">
        <v>11</v>
      </c>
      <c r="B20">
        <v>475</v>
      </c>
    </row>
    <row r="21" spans="1:4" x14ac:dyDescent="0.35">
      <c r="A21" t="s">
        <v>12</v>
      </c>
      <c r="B21">
        <v>125000</v>
      </c>
    </row>
    <row r="22" spans="1:4" x14ac:dyDescent="0.35">
      <c r="A22" t="s">
        <v>13</v>
      </c>
      <c r="B22">
        <v>200</v>
      </c>
    </row>
    <row r="23" spans="1:4" x14ac:dyDescent="0.35">
      <c r="A23" t="s">
        <v>14</v>
      </c>
      <c r="B23">
        <v>40</v>
      </c>
    </row>
    <row r="24" spans="1:4" x14ac:dyDescent="0.35">
      <c r="A24" t="s">
        <v>15</v>
      </c>
      <c r="B24">
        <v>55</v>
      </c>
    </row>
    <row r="25" spans="1:4" x14ac:dyDescent="0.35">
      <c r="A25" t="s">
        <v>16</v>
      </c>
      <c r="B25">
        <v>75</v>
      </c>
    </row>
    <row r="26" spans="1:4" ht="29" x14ac:dyDescent="1.05">
      <c r="A26" s="9" t="s">
        <v>17</v>
      </c>
      <c r="B26" s="9"/>
      <c r="C26" s="9"/>
      <c r="D26" s="9"/>
    </row>
    <row r="27" spans="1:4" x14ac:dyDescent="0.35">
      <c r="A27" t="s">
        <v>18</v>
      </c>
      <c r="B27">
        <v>0</v>
      </c>
    </row>
    <row r="28" spans="1:4" x14ac:dyDescent="0.35">
      <c r="A28" t="s">
        <v>19</v>
      </c>
      <c r="B28">
        <v>1</v>
      </c>
    </row>
    <row r="29" spans="1:4" x14ac:dyDescent="0.35">
      <c r="A29" t="s">
        <v>20</v>
      </c>
      <c r="B29">
        <v>0</v>
      </c>
    </row>
    <row r="30" spans="1:4" x14ac:dyDescent="0.35">
      <c r="A30" t="s">
        <v>21</v>
      </c>
      <c r="B30">
        <v>4</v>
      </c>
    </row>
    <row r="31" spans="1:4" x14ac:dyDescent="0.35">
      <c r="A31" t="s">
        <v>22</v>
      </c>
      <c r="B31">
        <v>2</v>
      </c>
    </row>
    <row r="32" spans="1:4" x14ac:dyDescent="0.35">
      <c r="A32" t="s">
        <v>23</v>
      </c>
      <c r="B32">
        <v>11</v>
      </c>
    </row>
    <row r="33" spans="1:4" x14ac:dyDescent="0.35">
      <c r="A33" t="s">
        <v>24</v>
      </c>
      <c r="B33">
        <v>3</v>
      </c>
    </row>
    <row r="34" spans="1:4" x14ac:dyDescent="0.35">
      <c r="A34" t="s">
        <v>25</v>
      </c>
      <c r="B34">
        <v>2</v>
      </c>
    </row>
    <row r="35" spans="1:4" x14ac:dyDescent="0.35">
      <c r="A35" t="s">
        <v>26</v>
      </c>
      <c r="B35">
        <v>40</v>
      </c>
    </row>
    <row r="36" spans="1:4" x14ac:dyDescent="0.35">
      <c r="A36" t="s">
        <v>27</v>
      </c>
      <c r="B36">
        <v>1</v>
      </c>
    </row>
    <row r="37" spans="1:4" ht="29" x14ac:dyDescent="1.05">
      <c r="A37" s="9" t="s">
        <v>11</v>
      </c>
      <c r="B37" s="9"/>
      <c r="C37" s="9"/>
      <c r="D37" s="9"/>
    </row>
    <row r="38" spans="1:4" x14ac:dyDescent="0.35">
      <c r="A38" t="s">
        <v>28</v>
      </c>
      <c r="B38">
        <v>300</v>
      </c>
    </row>
    <row r="39" spans="1:4" x14ac:dyDescent="0.35">
      <c r="A39" t="s">
        <v>29</v>
      </c>
      <c r="B39">
        <v>245</v>
      </c>
    </row>
    <row r="40" spans="1:4" ht="29" x14ac:dyDescent="1.05">
      <c r="A40" s="3" t="s">
        <v>30</v>
      </c>
      <c r="B40" s="3">
        <f>SUM(B38:B39)</f>
        <v>545</v>
      </c>
      <c r="C40" s="3"/>
      <c r="D40" s="3"/>
    </row>
    <row r="41" spans="1:4" x14ac:dyDescent="0.35">
      <c r="A41" t="s">
        <v>31</v>
      </c>
      <c r="B41">
        <v>20</v>
      </c>
    </row>
    <row r="42" spans="1:4" x14ac:dyDescent="0.35">
      <c r="A42" t="s">
        <v>32</v>
      </c>
      <c r="B42">
        <v>2</v>
      </c>
    </row>
    <row r="43" spans="1:4" x14ac:dyDescent="0.35">
      <c r="A43" t="s">
        <v>33</v>
      </c>
      <c r="B43">
        <v>40</v>
      </c>
    </row>
    <row r="44" spans="1:4" x14ac:dyDescent="0.35">
      <c r="A44" t="s">
        <v>34</v>
      </c>
      <c r="B44">
        <v>15</v>
      </c>
    </row>
    <row r="45" spans="1:4" x14ac:dyDescent="0.35">
      <c r="A45" t="s">
        <v>35</v>
      </c>
      <c r="B45">
        <v>25</v>
      </c>
    </row>
    <row r="46" spans="1:4" x14ac:dyDescent="0.35">
      <c r="A46" t="s">
        <v>36</v>
      </c>
      <c r="B46">
        <v>13</v>
      </c>
    </row>
    <row r="47" spans="1:4" x14ac:dyDescent="0.35">
      <c r="A47" t="s">
        <v>37</v>
      </c>
      <c r="B47">
        <v>13</v>
      </c>
    </row>
    <row r="48" spans="1:4" x14ac:dyDescent="0.35">
      <c r="A48" t="s">
        <v>38</v>
      </c>
      <c r="B48">
        <v>90</v>
      </c>
    </row>
    <row r="49" spans="1:4" x14ac:dyDescent="0.35">
      <c r="A49" t="s">
        <v>39</v>
      </c>
      <c r="B49">
        <v>41</v>
      </c>
    </row>
    <row r="50" spans="1:4" x14ac:dyDescent="0.35">
      <c r="A50" t="s">
        <v>40</v>
      </c>
      <c r="B50">
        <v>7</v>
      </c>
    </row>
    <row r="51" spans="1:4" x14ac:dyDescent="0.35">
      <c r="A51" t="s">
        <v>41</v>
      </c>
      <c r="B51">
        <v>40</v>
      </c>
    </row>
    <row r="52" spans="1:4" x14ac:dyDescent="0.35">
      <c r="A52" t="s">
        <v>42</v>
      </c>
      <c r="B52">
        <v>35</v>
      </c>
    </row>
    <row r="53" spans="1:4" x14ac:dyDescent="0.35">
      <c r="A53" t="s">
        <v>43</v>
      </c>
      <c r="B53">
        <v>12</v>
      </c>
    </row>
    <row r="54" spans="1:4" x14ac:dyDescent="0.35">
      <c r="A54" t="s">
        <v>44</v>
      </c>
      <c r="B54">
        <v>2</v>
      </c>
    </row>
    <row r="55" spans="1:4" x14ac:dyDescent="0.35">
      <c r="A55" t="s">
        <v>45</v>
      </c>
      <c r="B55">
        <v>10</v>
      </c>
    </row>
    <row r="56" spans="1:4" x14ac:dyDescent="0.35">
      <c r="A56" t="s">
        <v>46</v>
      </c>
      <c r="B56">
        <v>2</v>
      </c>
    </row>
    <row r="57" spans="1:4" x14ac:dyDescent="0.35">
      <c r="A57" t="s">
        <v>47</v>
      </c>
      <c r="B57">
        <v>4</v>
      </c>
    </row>
    <row r="58" spans="1:4" x14ac:dyDescent="0.35">
      <c r="A58" t="s">
        <v>48</v>
      </c>
      <c r="B58">
        <v>5</v>
      </c>
    </row>
    <row r="59" spans="1:4" x14ac:dyDescent="0.35">
      <c r="A59" t="s">
        <v>49</v>
      </c>
      <c r="B59">
        <v>13</v>
      </c>
    </row>
    <row r="60" spans="1:4" x14ac:dyDescent="0.35">
      <c r="A60" t="s">
        <v>50</v>
      </c>
      <c r="B60">
        <v>11</v>
      </c>
    </row>
    <row r="61" spans="1:4" x14ac:dyDescent="0.35">
      <c r="A61" t="s">
        <v>51</v>
      </c>
      <c r="B61">
        <v>7</v>
      </c>
    </row>
    <row r="62" spans="1:4" x14ac:dyDescent="0.35">
      <c r="A62" t="s">
        <v>52</v>
      </c>
      <c r="B62">
        <v>8</v>
      </c>
    </row>
    <row r="63" spans="1:4" ht="29" x14ac:dyDescent="1.05">
      <c r="A63" s="3" t="s">
        <v>30</v>
      </c>
      <c r="B63" s="3">
        <f>SUM(B41:B62)</f>
        <v>415</v>
      </c>
      <c r="C63" s="3"/>
      <c r="D63" s="3"/>
    </row>
    <row r="65" spans="1:4" ht="29" x14ac:dyDescent="1.05">
      <c r="A65" s="9" t="s">
        <v>53</v>
      </c>
      <c r="B65" s="9"/>
      <c r="C65" s="9"/>
      <c r="D65" s="9"/>
    </row>
    <row r="66" spans="1:4" x14ac:dyDescent="0.35">
      <c r="A66" s="5">
        <v>2023</v>
      </c>
      <c r="B66">
        <v>0.2</v>
      </c>
    </row>
    <row r="67" spans="1:4" x14ac:dyDescent="0.35">
      <c r="A67" s="5">
        <v>2024</v>
      </c>
      <c r="B67">
        <v>0.1</v>
      </c>
    </row>
    <row r="68" spans="1:4" x14ac:dyDescent="0.35">
      <c r="A68" s="5">
        <v>2025</v>
      </c>
      <c r="B68">
        <v>0.3</v>
      </c>
    </row>
    <row r="69" spans="1:4" x14ac:dyDescent="0.35">
      <c r="A69" s="5">
        <v>2026</v>
      </c>
      <c r="B69">
        <v>0.1</v>
      </c>
    </row>
    <row r="71" spans="1:4" ht="29" x14ac:dyDescent="1.05">
      <c r="A71" s="9" t="s">
        <v>54</v>
      </c>
      <c r="B71" s="9"/>
      <c r="C71" s="9"/>
      <c r="D71" s="9"/>
    </row>
    <row r="72" spans="1:4" x14ac:dyDescent="0.35">
      <c r="A72" s="5">
        <v>2023</v>
      </c>
      <c r="B72">
        <v>4</v>
      </c>
    </row>
    <row r="73" spans="1:4" x14ac:dyDescent="0.35">
      <c r="A73" s="5">
        <v>2024</v>
      </c>
      <c r="B73">
        <v>2.5</v>
      </c>
    </row>
    <row r="74" spans="1:4" x14ac:dyDescent="0.35">
      <c r="A74" s="5">
        <v>2025</v>
      </c>
      <c r="B74">
        <v>3.5</v>
      </c>
    </row>
    <row r="75" spans="1:4" x14ac:dyDescent="0.35">
      <c r="A75" s="5">
        <v>2026</v>
      </c>
      <c r="B75">
        <v>2</v>
      </c>
    </row>
    <row r="77" spans="1:4" ht="29" x14ac:dyDescent="1.05">
      <c r="A77" s="9" t="s">
        <v>56</v>
      </c>
      <c r="B77" s="9"/>
      <c r="C77" s="9"/>
      <c r="D77" s="9"/>
    </row>
    <row r="78" spans="1:4" x14ac:dyDescent="0.35">
      <c r="A78" t="s">
        <v>57</v>
      </c>
      <c r="B78">
        <v>140</v>
      </c>
    </row>
    <row r="79" spans="1:4" x14ac:dyDescent="0.35">
      <c r="A79" t="s">
        <v>58</v>
      </c>
      <c r="B79">
        <v>230</v>
      </c>
    </row>
    <row r="80" spans="1:4" x14ac:dyDescent="0.35">
      <c r="A80" t="s">
        <v>59</v>
      </c>
      <c r="B80">
        <v>110</v>
      </c>
    </row>
    <row r="81" spans="1:4" x14ac:dyDescent="0.35">
      <c r="A81" t="s">
        <v>43</v>
      </c>
      <c r="B81">
        <v>88</v>
      </c>
    </row>
    <row r="82" spans="1:4" x14ac:dyDescent="0.35">
      <c r="A82" t="s">
        <v>60</v>
      </c>
      <c r="B82">
        <v>90</v>
      </c>
    </row>
    <row r="83" spans="1:4" x14ac:dyDescent="0.35">
      <c r="A83" t="s">
        <v>61</v>
      </c>
      <c r="B83">
        <v>170</v>
      </c>
    </row>
    <row r="84" spans="1:4" x14ac:dyDescent="0.35">
      <c r="A84" t="s">
        <v>62</v>
      </c>
      <c r="B84">
        <v>99</v>
      </c>
    </row>
    <row r="85" spans="1:4" ht="29" x14ac:dyDescent="1.05">
      <c r="A85" s="3" t="s">
        <v>30</v>
      </c>
      <c r="B85" s="3">
        <f>SUM(B78:B84)</f>
        <v>927</v>
      </c>
      <c r="C85" s="3"/>
      <c r="D85" s="3"/>
    </row>
  </sheetData>
  <mergeCells count="9">
    <mergeCell ref="A3:D3"/>
    <mergeCell ref="G4:J4"/>
    <mergeCell ref="A9:D9"/>
    <mergeCell ref="A15:D15"/>
    <mergeCell ref="A26:D26"/>
    <mergeCell ref="A77:D77"/>
    <mergeCell ref="A37:D37"/>
    <mergeCell ref="A65:D65"/>
    <mergeCell ref="A71:D7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Ismail</dc:creator>
  <cp:lastModifiedBy>Md Furquan Afroz</cp:lastModifiedBy>
  <dcterms:created xsi:type="dcterms:W3CDTF">2020-06-09T13:36:10Z</dcterms:created>
  <dcterms:modified xsi:type="dcterms:W3CDTF">2026-06-14T10:53:57Z</dcterms:modified>
</cp:coreProperties>
</file>